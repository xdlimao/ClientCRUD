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I:\"/>
    </mc:Choice>
  </mc:AlternateContent>
  <xr:revisionPtr revIDLastSave="0" documentId="13_ncr:1_{EFE6929F-D364-484F-BDA0-92A65C58F7ED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definedNames>
    <definedName name="_xlnm._FilterDatabase" localSheetId="0" hidden="1">COLLECTION!$A$4:$Z$24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E2" i="1" l="1"/>
  <c r="H9" i="1" l="1"/>
  <c r="I9" i="1" s="1"/>
  <c r="J9" i="1"/>
  <c r="H10" i="1"/>
  <c r="I10" i="1" s="1"/>
  <c r="J10" i="1"/>
  <c r="H11" i="1"/>
  <c r="I11" i="1" s="1"/>
  <c r="J11" i="1"/>
  <c r="H12" i="1"/>
  <c r="I12" i="1" s="1"/>
  <c r="J12" i="1"/>
  <c r="H13" i="1"/>
  <c r="I13" i="1" s="1"/>
  <c r="J13" i="1"/>
  <c r="H14" i="1"/>
  <c r="I14" i="1" s="1"/>
  <c r="J14" i="1"/>
  <c r="H15" i="1"/>
  <c r="I15" i="1" s="1"/>
  <c r="J15" i="1"/>
  <c r="H16" i="1"/>
  <c r="I16" i="1" s="1"/>
  <c r="J16" i="1"/>
  <c r="H17" i="1"/>
  <c r="I17" i="1" s="1"/>
  <c r="J17" i="1"/>
  <c r="H18" i="1"/>
  <c r="I18" i="1" s="1"/>
  <c r="J18" i="1"/>
  <c r="H19" i="1"/>
  <c r="I19" i="1" s="1"/>
  <c r="J19" i="1"/>
  <c r="H20" i="1"/>
  <c r="I20" i="1" s="1"/>
  <c r="J20" i="1"/>
  <c r="H21" i="1"/>
  <c r="I21" i="1" s="1"/>
  <c r="J21" i="1"/>
  <c r="H22" i="1"/>
  <c r="I22" i="1" s="1"/>
  <c r="J22" i="1"/>
  <c r="H23" i="1"/>
  <c r="I23" i="1" s="1"/>
  <c r="J23" i="1"/>
  <c r="H24" i="1"/>
  <c r="I24" i="1"/>
  <c r="J24" i="1"/>
  <c r="H7" i="1"/>
  <c r="I7" i="1" s="1"/>
  <c r="J7" i="1"/>
  <c r="H8" i="1"/>
  <c r="I8" i="1" s="1"/>
  <c r="J8" i="1"/>
  <c r="H6" i="1" l="1"/>
  <c r="I6" i="1" s="1"/>
  <c r="J6" i="1"/>
  <c r="E21" i="1"/>
  <c r="E15" i="1"/>
  <c r="E7" i="1"/>
  <c r="E24" i="1"/>
  <c r="E23" i="1"/>
  <c r="E14" i="1"/>
  <c r="E19" i="1"/>
  <c r="E20" i="1"/>
  <c r="E18" i="1"/>
  <c r="E12" i="1"/>
  <c r="E17" i="1"/>
  <c r="E9" i="1"/>
  <c r="E11" i="1"/>
  <c r="E16" i="1"/>
  <c r="E22" i="1"/>
  <c r="J5" i="1" l="1"/>
  <c r="H5" i="1"/>
  <c r="I5" i="1" s="1"/>
  <c r="J2" i="1" l="1"/>
  <c r="B2" i="1"/>
  <c r="E13" i="1"/>
  <c r="E6" i="1"/>
  <c r="E8" i="1"/>
  <c r="E5" i="1"/>
  <c r="E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Uilan</author>
  </authors>
  <commentList>
    <comment ref="H4" authorId="0" shapeId="0" xr:uid="{9BD51016-7948-48B3-93E1-015AE97CBCBA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  <comment ref="I4" authorId="0" shapeId="0" xr:uid="{2B44AF12-93A7-46C9-B061-B267A44A1EA2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</commentList>
</comments>
</file>

<file path=xl/sharedStrings.xml><?xml version="1.0" encoding="utf-8"?>
<sst xmlns="http://schemas.openxmlformats.org/spreadsheetml/2006/main" count="103" uniqueCount="70">
  <si>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</si>
  <si>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</si>
  <si>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</si>
  <si>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</si>
  <si>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</si>
  <si>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</si>
  <si>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</si>
  <si>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</si>
  <si>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</si>
  <si>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</si>
  <si>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</si>
  <si>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</si>
  <si>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</si>
  <si>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DateTime</t>
  </si>
  <si>
    <t>Guid</t>
  </si>
  <si>
    <t>Note</t>
  </si>
  <si>
    <t>Observação</t>
  </si>
  <si>
    <t>DOMAINS</t>
  </si>
  <si>
    <t>Code</t>
  </si>
  <si>
    <t>LABEL</t>
  </si>
  <si>
    <t>bool</t>
  </si>
  <si>
    <t>HTML CREATE</t>
  </si>
  <si>
    <t>HTML UPDATE</t>
  </si>
  <si>
    <t>REPOSITORY</t>
  </si>
  <si>
    <t>SHORT DESCRIPTION</t>
  </si>
  <si>
    <t>PARENT</t>
  </si>
  <si>
    <t>PARENT DESCRIPTION</t>
  </si>
  <si>
    <t>FEATURE CODE</t>
  </si>
  <si>
    <t>ENTITY CODE</t>
  </si>
  <si>
    <t>Description</t>
  </si>
  <si>
    <t>Id</t>
  </si>
  <si>
    <t>VERSION</t>
  </si>
  <si>
    <t>Phones</t>
  </si>
  <si>
    <t>Telefones</t>
  </si>
  <si>
    <t>Emails</t>
  </si>
  <si>
    <t>Addresses</t>
  </si>
  <si>
    <t>Endereços</t>
  </si>
  <si>
    <t>Descrição</t>
  </si>
  <si>
    <t>Tipo</t>
  </si>
  <si>
    <t>Type</t>
  </si>
  <si>
    <t>Avatar</t>
  </si>
  <si>
    <t>Image</t>
  </si>
  <si>
    <t>Imagem</t>
  </si>
  <si>
    <t>Código</t>
  </si>
  <si>
    <t>Name</t>
  </si>
  <si>
    <t>Nome</t>
  </si>
  <si>
    <t>ExternalCode</t>
  </si>
  <si>
    <t>Código Externo</t>
  </si>
  <si>
    <t>ReferenceCode</t>
  </si>
  <si>
    <t>Código de Referência</t>
  </si>
  <si>
    <t>Color</t>
  </si>
  <si>
    <t>Cor</t>
  </si>
  <si>
    <t>Cliente</t>
  </si>
  <si>
    <t>Nickname</t>
  </si>
  <si>
    <t>Apelido/Nome Fantasia</t>
  </si>
  <si>
    <t>PersonType</t>
  </si>
  <si>
    <t>Tipo de Pessoa</t>
  </si>
  <si>
    <t>IdentityType</t>
  </si>
  <si>
    <t>Tipo de Identidade</t>
  </si>
  <si>
    <t>Identity</t>
  </si>
  <si>
    <t>Identidade</t>
  </si>
  <si>
    <t>BirthDate</t>
  </si>
  <si>
    <t>Data de Nascimento</t>
  </si>
  <si>
    <t>Enabled</t>
  </si>
  <si>
    <t>Ativo</t>
  </si>
  <si>
    <t>Customer</t>
  </si>
  <si>
    <t>CodeName</t>
  </si>
  <si>
    <t>List&lt;Address&gt;</t>
  </si>
  <si>
    <t>List&lt;Phone&gt;</t>
  </si>
  <si>
    <t>List&lt;Email&gt;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</si>
</sst>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colors>
    <mruColors>
      <color rgb="FF007434"/>
      <color rgb="FF0058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4"/>
  <sheetViews>
    <sheetView tabSelected="1" zoomScaleNormal="100" zoomScalePageLayoutView="115" workbookViewId="0">
      <selection activeCell="A15" sqref="A15:XFD15"/>
    </sheetView>
  </sheetViews>
  <sheetFormatPr defaultColWidth="118" defaultRowHeight="15.75" x14ac:dyDescent="0.25"/>
  <cols>
    <col min="1" max="1" width="13.625" style="5" bestFit="1" customWidth="1"/>
    <col min="2" max="2" width="20" style="5" bestFit="1" customWidth="1"/>
    <col min="3" max="3" width="13.625" style="5" bestFit="1" customWidth="1"/>
    <col min="4" max="4" width="14.375" style="6" bestFit="1" customWidth="1"/>
    <col min="5" max="5" width="13.625" style="5" bestFit="1" customWidth="1"/>
    <col min="6" max="6" width="20.125" style="5" bestFit="1" customWidth="1"/>
    <col min="7" max="7" width="10.875" style="5" bestFit="1" customWidth="1"/>
    <col min="8" max="9" width="20" style="5" bestFit="1" customWidth="1"/>
    <col min="10" max="10" width="20.125" style="5" bestFit="1" customWidth="1"/>
    <col min="11" max="11" width="10.375" style="5" bestFit="1" customWidth="1"/>
    <col min="12" max="12" width="5.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23</v>
      </c>
      <c r="C1" s="1" t="s">
        <v>0</v>
      </c>
      <c r="D1" s="2" t="s">
        <v>4</v>
      </c>
      <c r="E1" s="1" t="s">
        <v>8</v>
      </c>
      <c r="F1" s="1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1" t="s">
        <v>31</v>
      </c>
    </row>
    <row r="2" spans="1:11" s="3" customFormat="1" x14ac:dyDescent="0.25">
      <c r="A2" s="3" t="s">
        <v>65</v>
      </c>
      <c r="B2" s="3" t="str">
        <f>SplitProp(A2)</f>
        <v>customer</v>
      </c>
      <c r="C2" s="3" t="s">
        <v>52</v>
      </c>
      <c r="D2" s="4" t="str">
        <f>A8</f>
        <v>Name</v>
      </c>
      <c r="E2" s="3" t="str">
        <f>A5</f>
        <v>Id</v>
      </c>
      <c r="I2" s="3">
        <v>1006</v>
      </c>
      <c r="J2" s="3" t="str">
        <f>A6</f>
        <v>Code</v>
      </c>
      <c r="K2" s="8">
        <v>45049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  <c r="H4" s="1" t="s">
        <v>21</v>
      </c>
      <c r="I4" s="1" t="s">
        <v>22</v>
      </c>
      <c r="J4" s="1" t="s">
        <v>19</v>
      </c>
    </row>
    <row r="5" spans="1:11" x14ac:dyDescent="0.25">
      <c r="A5" s="5" t="s">
        <v>30</v>
      </c>
      <c r="B5" s="5" t="s">
        <v>14</v>
      </c>
      <c r="C5" s="5" t="s">
        <v>7</v>
      </c>
      <c r="D5" s="6">
        <v>50</v>
      </c>
      <c r="E5" s="5" t="str">
        <f t="shared" ref="E5:E13" si="0">SplitProp(A5)</f>
        <v>id</v>
      </c>
      <c r="F5" s="5" t="s">
        <v>30</v>
      </c>
      <c r="H5" s="5" t="str">
        <f t="shared" ref="H5:H6" si="1">B5</f>
        <v>Guid</v>
      </c>
      <c r="I5" s="5" t="str">
        <f t="shared" ref="I5:I6" si="2">H5</f>
        <v>Guid</v>
      </c>
      <c r="J5" s="5" t="str">
        <f t="shared" ref="J5:J6" si="3">F5</f>
        <v>Id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si="0"/>
        <v>code</v>
      </c>
      <c r="F6" s="3" t="s">
        <v>43</v>
      </c>
      <c r="H6" s="3" t="str">
        <f t="shared" si="1"/>
        <v>int</v>
      </c>
      <c r="I6" s="3" t="str">
        <f t="shared" si="2"/>
        <v>int</v>
      </c>
      <c r="J6" s="3" t="str">
        <f t="shared" si="3"/>
        <v>Código</v>
      </c>
      <c r="K6" s="8"/>
    </row>
    <row r="7" spans="1:11" s="3" customFormat="1" x14ac:dyDescent="0.25">
      <c r="A7" s="3" t="s">
        <v>39</v>
      </c>
      <c r="B7" s="3" t="s">
        <v>66</v>
      </c>
      <c r="C7" s="3" t="s">
        <v>7</v>
      </c>
      <c r="D7" s="4">
        <v>0</v>
      </c>
      <c r="E7" s="3" t="str">
        <f t="shared" ref="E7" si="4">SplitProp(A7)</f>
        <v>type</v>
      </c>
      <c r="F7" s="3" t="s">
        <v>38</v>
      </c>
      <c r="H7" s="3" t="str">
        <f t="shared" ref="H7:H9" si="5">B7</f>
        <v>CodeName</v>
      </c>
      <c r="I7" s="3" t="str">
        <f t="shared" ref="I7:I9" si="6">H7</f>
        <v>CodeName</v>
      </c>
      <c r="J7" s="3" t="str">
        <f t="shared" ref="J7:J9" si="7">F7</f>
        <v>Tipo</v>
      </c>
      <c r="K7" s="8"/>
    </row>
    <row r="8" spans="1:11" x14ac:dyDescent="0.25">
      <c r="A8" s="5" t="s">
        <v>44</v>
      </c>
      <c r="B8" s="5" t="s">
        <v>12</v>
      </c>
      <c r="C8" s="5" t="s">
        <v>11</v>
      </c>
      <c r="D8" s="6">
        <v>255</v>
      </c>
      <c r="E8" s="5" t="str">
        <f t="shared" si="0"/>
        <v>name</v>
      </c>
      <c r="F8" s="5" t="s">
        <v>45</v>
      </c>
      <c r="H8" s="5" t="str">
        <f t="shared" si="5"/>
        <v>string</v>
      </c>
      <c r="I8" s="5" t="str">
        <f t="shared" si="6"/>
        <v>string</v>
      </c>
      <c r="J8" s="5" t="str">
        <f t="shared" si="7"/>
        <v>Nome</v>
      </c>
    </row>
    <row r="9" spans="1:11" s="3" customFormat="1" x14ac:dyDescent="0.25">
      <c r="A9" s="3" t="s">
        <v>53</v>
      </c>
      <c r="B9" s="3" t="s">
        <v>12</v>
      </c>
      <c r="C9" s="3" t="s">
        <v>11</v>
      </c>
      <c r="D9" s="4">
        <v>255</v>
      </c>
      <c r="E9" s="3" t="str">
        <f t="shared" ref="E9" si="8">SplitProp(A9)</f>
        <v>nickname</v>
      </c>
      <c r="F9" s="3" t="s">
        <v>54</v>
      </c>
      <c r="H9" s="3" t="str">
        <f t="shared" si="5"/>
        <v>string</v>
      </c>
      <c r="I9" s="3" t="str">
        <f t="shared" si="6"/>
        <v>string</v>
      </c>
      <c r="J9" s="3" t="str">
        <f t="shared" si="7"/>
        <v>Apelido/Nome Fantasia</v>
      </c>
      <c r="K9" s="8"/>
    </row>
    <row r="10" spans="1:11" x14ac:dyDescent="0.25">
      <c r="A10" s="5" t="s">
        <v>29</v>
      </c>
      <c r="B10" s="5" t="s">
        <v>12</v>
      </c>
      <c r="C10" s="5" t="s">
        <v>11</v>
      </c>
      <c r="D10" s="6">
        <v>8000</v>
      </c>
      <c r="E10" s="5" t="str">
        <f t="shared" si="0"/>
        <v>description</v>
      </c>
      <c r="F10" s="5" t="s">
        <v>37</v>
      </c>
      <c r="H10" s="5" t="str">
        <f t="shared" ref="H10:H24" si="9">B10</f>
        <v>string</v>
      </c>
      <c r="I10" s="5" t="str">
        <f t="shared" ref="I10:I24" si="10">H10</f>
        <v>string</v>
      </c>
      <c r="J10" s="5" t="str">
        <f t="shared" ref="J10:J24" si="11">F10</f>
        <v>Descrição</v>
      </c>
    </row>
    <row r="11" spans="1:11" s="3" customFormat="1" x14ac:dyDescent="0.25">
      <c r="A11" s="3" t="s">
        <v>55</v>
      </c>
      <c r="B11" s="3" t="s">
        <v>66</v>
      </c>
      <c r="C11" s="3" t="s">
        <v>11</v>
      </c>
      <c r="D11" s="4">
        <v>0</v>
      </c>
      <c r="E11" s="3" t="str">
        <f>SplitProp(A11)</f>
        <v>person_type</v>
      </c>
      <c r="F11" s="3" t="s">
        <v>56</v>
      </c>
      <c r="H11" s="3" t="str">
        <f t="shared" si="9"/>
        <v>CodeName</v>
      </c>
      <c r="I11" s="3" t="str">
        <f t="shared" si="10"/>
        <v>CodeName</v>
      </c>
      <c r="J11" s="3" t="str">
        <f t="shared" si="11"/>
        <v>Tipo de Pessoa</v>
      </c>
      <c r="K11" s="8"/>
    </row>
    <row r="12" spans="1:11" x14ac:dyDescent="0.25">
      <c r="A12" s="5" t="s">
        <v>57</v>
      </c>
      <c r="B12" s="5" t="s">
        <v>66</v>
      </c>
      <c r="C12" s="5" t="s">
        <v>11</v>
      </c>
      <c r="D12" s="6">
        <v>0</v>
      </c>
      <c r="E12" s="5" t="str">
        <f>SplitProp(A12)</f>
        <v>identity_type</v>
      </c>
      <c r="F12" s="5" t="s">
        <v>58</v>
      </c>
      <c r="H12" s="5" t="str">
        <f t="shared" si="9"/>
        <v>CodeName</v>
      </c>
      <c r="I12" s="5" t="str">
        <f t="shared" si="10"/>
        <v>CodeName</v>
      </c>
      <c r="J12" s="5" t="str">
        <f t="shared" si="11"/>
        <v>Tipo de Identidade</v>
      </c>
    </row>
    <row r="13" spans="1:11" s="3" customFormat="1" x14ac:dyDescent="0.25">
      <c r="A13" s="3" t="s">
        <v>59</v>
      </c>
      <c r="B13" s="3" t="s">
        <v>12</v>
      </c>
      <c r="C13" s="3" t="s">
        <v>11</v>
      </c>
      <c r="D13" s="4">
        <v>0</v>
      </c>
      <c r="E13" s="3" t="str">
        <f t="shared" si="0"/>
        <v>identity</v>
      </c>
      <c r="F13" s="3" t="s">
        <v>60</v>
      </c>
      <c r="H13" s="3" t="str">
        <f t="shared" si="9"/>
        <v>string</v>
      </c>
      <c r="I13" s="3" t="str">
        <f t="shared" si="10"/>
        <v>string</v>
      </c>
      <c r="J13" s="3" t="str">
        <f t="shared" si="11"/>
        <v>Identidade</v>
      </c>
      <c r="K13" s="8"/>
    </row>
    <row r="14" spans="1:11" x14ac:dyDescent="0.25">
      <c r="A14" s="5" t="s">
        <v>61</v>
      </c>
      <c r="B14" s="5" t="s">
        <v>13</v>
      </c>
      <c r="C14" s="5" t="s">
        <v>11</v>
      </c>
      <c r="D14" s="6">
        <v>0</v>
      </c>
      <c r="E14" s="5" t="str">
        <f t="shared" ref="E14" si="12">SplitProp(A14)</f>
        <v>birth_date</v>
      </c>
      <c r="F14" s="5" t="s">
        <v>62</v>
      </c>
      <c r="H14" s="5" t="str">
        <f t="shared" si="9"/>
        <v>DateTime</v>
      </c>
      <c r="I14" s="5" t="str">
        <f t="shared" si="10"/>
        <v>DateTime</v>
      </c>
      <c r="J14" s="5" t="str">
        <f t="shared" si="11"/>
        <v>Data de Nascimento</v>
      </c>
    </row>
    <row r="15" spans="1:11" x14ac:dyDescent="0.25">
      <c r="A15" s="5" t="s">
        <v>63</v>
      </c>
      <c r="B15" s="5" t="s">
        <v>20</v>
      </c>
      <c r="C15" s="5" t="s">
        <v>7</v>
      </c>
      <c r="D15" s="6">
        <v>0</v>
      </c>
      <c r="E15" s="5" t="str">
        <f t="shared" ref="E15" si="13">SplitProp(A15)</f>
        <v>enabled</v>
      </c>
      <c r="F15" s="5" t="s">
        <v>64</v>
      </c>
      <c r="H15" s="5" t="str">
        <f t="shared" si="9"/>
        <v>bool</v>
      </c>
      <c r="I15" s="5" t="str">
        <f t="shared" si="10"/>
        <v>bool</v>
      </c>
      <c r="J15" s="5" t="str">
        <f t="shared" si="11"/>
        <v>Ativo</v>
      </c>
    </row>
    <row r="16" spans="1:11" s="3" customFormat="1" x14ac:dyDescent="0.25">
      <c r="A16" s="3" t="s">
        <v>35</v>
      </c>
      <c r="B16" s="3" t="s">
        <v>67</v>
      </c>
      <c r="C16" s="3" t="s">
        <v>7</v>
      </c>
      <c r="D16" s="4">
        <v>0</v>
      </c>
      <c r="E16" s="3" t="str">
        <f>SplitProp(A16)</f>
        <v>addresses</v>
      </c>
      <c r="F16" s="3" t="s">
        <v>36</v>
      </c>
      <c r="H16" s="3" t="str">
        <f t="shared" si="9"/>
        <v>List&lt;Address&gt;</v>
      </c>
      <c r="I16" s="3" t="str">
        <f t="shared" si="10"/>
        <v>List&lt;Address&gt;</v>
      </c>
      <c r="J16" s="3" t="str">
        <f t="shared" si="11"/>
        <v>Endereços</v>
      </c>
      <c r="K16" s="8"/>
    </row>
    <row r="17" spans="1:11" x14ac:dyDescent="0.25">
      <c r="A17" s="5" t="s">
        <v>32</v>
      </c>
      <c r="B17" s="5" t="s">
        <v>68</v>
      </c>
      <c r="C17" s="5" t="s">
        <v>7</v>
      </c>
      <c r="D17" s="6">
        <v>0</v>
      </c>
      <c r="E17" s="5" t="str">
        <f>SplitProp(A17)</f>
        <v>phones</v>
      </c>
      <c r="F17" s="5" t="s">
        <v>33</v>
      </c>
      <c r="H17" s="5" t="str">
        <f t="shared" si="9"/>
        <v>List&lt;Phone&gt;</v>
      </c>
      <c r="I17" s="5" t="str">
        <f t="shared" si="10"/>
        <v>List&lt;Phone&gt;</v>
      </c>
      <c r="J17" s="5" t="str">
        <f t="shared" si="11"/>
        <v>Telefones</v>
      </c>
    </row>
    <row r="18" spans="1:11" s="3" customFormat="1" x14ac:dyDescent="0.25">
      <c r="A18" s="3" t="s">
        <v>34</v>
      </c>
      <c r="B18" s="3" t="s">
        <v>69</v>
      </c>
      <c r="C18" s="3" t="s">
        <v>7</v>
      </c>
      <c r="D18" s="4">
        <v>0</v>
      </c>
      <c r="E18" s="3" t="str">
        <f>SplitProp(A18)</f>
        <v>emails</v>
      </c>
      <c r="F18" s="3" t="s">
        <v>34</v>
      </c>
      <c r="H18" s="3" t="str">
        <f t="shared" si="9"/>
        <v>List&lt;Email&gt;</v>
      </c>
      <c r="I18" s="3" t="str">
        <f t="shared" si="10"/>
        <v>List&lt;Email&gt;</v>
      </c>
      <c r="J18" s="3" t="str">
        <f t="shared" si="11"/>
        <v>Emails</v>
      </c>
      <c r="K18" s="8"/>
    </row>
    <row r="19" spans="1:11" s="3" customFormat="1" x14ac:dyDescent="0.25">
      <c r="A19" s="3" t="s">
        <v>40</v>
      </c>
      <c r="B19" s="3" t="s">
        <v>12</v>
      </c>
      <c r="C19" s="3" t="s">
        <v>11</v>
      </c>
      <c r="D19" s="4">
        <v>8000</v>
      </c>
      <c r="E19" s="3" t="str">
        <f t="shared" ref="E19:E24" si="14">SplitProp(A19)</f>
        <v>avatar</v>
      </c>
      <c r="F19" s="3" t="s">
        <v>40</v>
      </c>
      <c r="H19" s="3" t="str">
        <f t="shared" si="9"/>
        <v>string</v>
      </c>
      <c r="I19" s="3" t="str">
        <f t="shared" si="10"/>
        <v>string</v>
      </c>
      <c r="J19" s="3" t="str">
        <f t="shared" si="11"/>
        <v>Avatar</v>
      </c>
      <c r="K19" s="8"/>
    </row>
    <row r="20" spans="1:11" x14ac:dyDescent="0.25">
      <c r="A20" s="5" t="s">
        <v>41</v>
      </c>
      <c r="B20" s="5" t="s">
        <v>12</v>
      </c>
      <c r="C20" s="5" t="s">
        <v>11</v>
      </c>
      <c r="D20" s="6">
        <v>8000</v>
      </c>
      <c r="E20" s="5" t="str">
        <f t="shared" si="14"/>
        <v>image</v>
      </c>
      <c r="F20" s="5" t="s">
        <v>42</v>
      </c>
      <c r="H20" s="5" t="str">
        <f t="shared" si="9"/>
        <v>string</v>
      </c>
      <c r="I20" s="5" t="str">
        <f t="shared" si="10"/>
        <v>string</v>
      </c>
      <c r="J20" s="5" t="str">
        <f t="shared" si="11"/>
        <v>Imagem</v>
      </c>
    </row>
    <row r="21" spans="1:11" s="3" customFormat="1" x14ac:dyDescent="0.25">
      <c r="A21" s="3" t="s">
        <v>50</v>
      </c>
      <c r="B21" s="3" t="s">
        <v>12</v>
      </c>
      <c r="C21" s="3" t="s">
        <v>11</v>
      </c>
      <c r="D21" s="4">
        <v>50</v>
      </c>
      <c r="E21" s="3" t="str">
        <f t="shared" ref="E21" si="15">SplitProp(A21)</f>
        <v>color</v>
      </c>
      <c r="F21" s="3" t="s">
        <v>51</v>
      </c>
      <c r="H21" s="3" t="str">
        <f t="shared" si="9"/>
        <v>string</v>
      </c>
      <c r="I21" s="3" t="str">
        <f t="shared" si="10"/>
        <v>string</v>
      </c>
      <c r="J21" s="3" t="str">
        <f t="shared" si="11"/>
        <v>Cor</v>
      </c>
      <c r="K21" s="8"/>
    </row>
    <row r="22" spans="1:11" x14ac:dyDescent="0.25">
      <c r="A22" s="5" t="s">
        <v>48</v>
      </c>
      <c r="B22" s="5" t="s">
        <v>12</v>
      </c>
      <c r="C22" s="5" t="s">
        <v>11</v>
      </c>
      <c r="D22" s="6">
        <v>50</v>
      </c>
      <c r="E22" s="5" t="str">
        <f t="shared" ref="E22" si="16">SplitProp(A22)</f>
        <v>reference_code</v>
      </c>
      <c r="F22" s="5" t="s">
        <v>49</v>
      </c>
      <c r="H22" s="5" t="str">
        <f t="shared" si="9"/>
        <v>string</v>
      </c>
      <c r="I22" s="5" t="str">
        <f t="shared" si="10"/>
        <v>string</v>
      </c>
      <c r="J22" s="5" t="str">
        <f t="shared" si="11"/>
        <v>Código de Referência</v>
      </c>
    </row>
    <row r="23" spans="1:11" s="3" customFormat="1" x14ac:dyDescent="0.25">
      <c r="A23" s="3" t="s">
        <v>46</v>
      </c>
      <c r="B23" s="3" t="s">
        <v>12</v>
      </c>
      <c r="C23" s="3" t="s">
        <v>11</v>
      </c>
      <c r="D23" s="4">
        <v>50</v>
      </c>
      <c r="E23" s="3" t="str">
        <f t="shared" ref="E23" si="17">SplitProp(A23)</f>
        <v>external_code</v>
      </c>
      <c r="F23" s="3" t="s">
        <v>47</v>
      </c>
      <c r="H23" s="3" t="str">
        <f t="shared" si="9"/>
        <v>string</v>
      </c>
      <c r="I23" s="3" t="str">
        <f t="shared" si="10"/>
        <v>string</v>
      </c>
      <c r="J23" s="3" t="str">
        <f t="shared" si="11"/>
        <v>Código Externo</v>
      </c>
      <c r="K23" s="8"/>
    </row>
    <row r="24" spans="1:11" s="3" customFormat="1" x14ac:dyDescent="0.25">
      <c r="A24" s="3" t="s">
        <v>15</v>
      </c>
      <c r="B24" s="3" t="s">
        <v>12</v>
      </c>
      <c r="C24" s="3" t="s">
        <v>11</v>
      </c>
      <c r="D24" s="4">
        <v>8000</v>
      </c>
      <c r="E24" s="3" t="str">
        <f t="shared" si="14"/>
        <v>note</v>
      </c>
      <c r="F24" s="3" t="s">
        <v>16</v>
      </c>
      <c r="H24" s="3" t="str">
        <f t="shared" si="9"/>
        <v>string</v>
      </c>
      <c r="I24" s="3" t="str">
        <f t="shared" si="10"/>
        <v>string</v>
      </c>
      <c r="J24" s="3" t="str">
        <f t="shared" si="11"/>
        <v>Observação</v>
      </c>
      <c r="K24" s="8"/>
    </row>
  </sheetData>
  <autoFilter ref="A4:Z24" xr:uid="{00000000-0001-0000-0000-000000000000}"/>
  <dataValidations disablePrompts="1" count="1">
    <dataValidation type="list" allowBlank="1" showInputMessage="1" showErrorMessage="1" sqref="K13:K18" xr:uid="{DB4AAB86-F934-4793-B4E9-789921A54036}">
      <formula1>#REF!</formula1>
    </dataValidation>
  </dataValidations>
  <pageMargins left="0.75" right="0.75" top="1" bottom="1" header="0.5" footer="0.5"/>
  <pageSetup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2024-04-22T16:54:34Z</dcterms:modified>
</cp:coreProperties>
</file>